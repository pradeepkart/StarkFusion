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toftware testing\"/>
    </mc:Choice>
  </mc:AlternateContent>
  <xr:revisionPtr revIDLastSave="0" documentId="13_ncr:1_{4E01C06C-935D-4354-9018-0E7DD31D8B5B}" xr6:coauthVersionLast="47" xr6:coauthVersionMax="47" xr10:uidLastSave="{00000000-0000-0000-0000-000000000000}"/>
  <bookViews>
    <workbookView xWindow="-120" yWindow="-120" windowWidth="20730" windowHeight="11040" firstSheet="5" activeTab="5" xr2:uid="{00000000-000D-0000-FFFF-FFFF00000000}"/>
  </bookViews>
  <sheets>
    <sheet name="Execution Summary" sheetId="1" r:id="rId1"/>
    <sheet name="Student Login" sheetId="2" r:id="rId2"/>
    <sheet name="Admin Login" sheetId="3" r:id="rId3"/>
    <sheet name="Student Dashboard" sheetId="4" r:id="rId4"/>
    <sheet name="Browse Jobs" sheetId="5" r:id="rId5"/>
    <sheet name="My Skills" sheetId="6" r:id="rId6"/>
    <sheet name="Skill Gap Analysis" sheetId="7" r:id="rId7"/>
    <sheet name="My Applications" sheetId="8" r:id="rId8"/>
    <sheet name="Admin Dashboard" sheetId="9" r:id="rId9"/>
    <sheet name="Manage Jobs" sheetId="10" r:id="rId10"/>
    <sheet name="Students Directory" sheetId="11" r:id="rId11"/>
    <sheet name="All Applications" sheetId="12" r:id="rId12"/>
  </sheets>
  <definedNames>
    <definedName name="_xlnm._FilterDatabase" localSheetId="8" hidden="1">'Admin Dashboard'!$A$4:$H$6</definedName>
    <definedName name="_xlnm._FilterDatabase" localSheetId="2" hidden="1">'Admin Login'!$A$4:$H$7</definedName>
    <definedName name="_xlnm._FilterDatabase" localSheetId="11" hidden="1">'All Applications'!$A$4:$H$6</definedName>
    <definedName name="_xlnm._FilterDatabase" localSheetId="4" hidden="1">'Browse Jobs'!$A$4:$H$7</definedName>
    <definedName name="_xlnm._FilterDatabase" localSheetId="9" hidden="1">'Manage Jobs'!$A$4:$H$8</definedName>
    <definedName name="_xlnm._FilterDatabase" localSheetId="7" hidden="1">'My Applications'!$A$4:$H$6</definedName>
    <definedName name="_xlnm._FilterDatabase" localSheetId="5" hidden="1">'My Skills'!$A$4:$H$9</definedName>
    <definedName name="_xlnm._FilterDatabase" localSheetId="6" hidden="1">'Skill Gap Analysis'!$A$4:$H$7</definedName>
    <definedName name="_xlnm._FilterDatabase" localSheetId="3" hidden="1">'Student Dashboard'!$A$4:$H$8</definedName>
    <definedName name="_xlnm._FilterDatabase" localSheetId="1" hidden="1">'Student Login'!$A$4:$H$10</definedName>
    <definedName name="_xlnm._FilterDatabase" localSheetId="10" hidden="1">'Students Directory'!$A$4:$H$6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2" l="1"/>
  <c r="A2" i="11"/>
  <c r="A2" i="10"/>
  <c r="A2" i="9"/>
  <c r="A2" i="8"/>
  <c r="A2" i="7"/>
  <c r="A2" i="6"/>
  <c r="A2" i="5"/>
  <c r="A2" i="4"/>
  <c r="A2" i="3"/>
  <c r="A2" i="2"/>
  <c r="F20" i="1"/>
  <c r="E20" i="1"/>
  <c r="D20" i="1"/>
  <c r="G19" i="1"/>
  <c r="G18" i="1"/>
  <c r="G17" i="1"/>
  <c r="G16" i="1"/>
  <c r="G15" i="1"/>
  <c r="G14" i="1"/>
  <c r="G13" i="1"/>
  <c r="G12" i="1"/>
  <c r="G11" i="1"/>
  <c r="G10" i="1"/>
  <c r="G9" i="1"/>
</calcChain>
</file>

<file path=xl/sharedStrings.xml><?xml version="1.0" encoding="utf-8"?>
<sst xmlns="http://schemas.openxmlformats.org/spreadsheetml/2006/main" count="425" uniqueCount="263">
  <si>
    <t>SkillBridge QA Test Suite - Executive Summary &amp; Module Index</t>
  </si>
  <si>
    <t>Total Modules</t>
  </si>
  <si>
    <t>Total Test Cases</t>
  </si>
  <si>
    <t>Passed Cases</t>
  </si>
  <si>
    <t>Pass Rate</t>
  </si>
  <si>
    <t>11</t>
  </si>
  <si>
    <t>36</t>
  </si>
  <si>
    <t>Workbook Sheet Directory &amp; Module Coverage</t>
  </si>
  <si>
    <t>Sheet Name / Module</t>
  </si>
  <si>
    <t>Portal Scope</t>
  </si>
  <si>
    <t>Total Cases</t>
  </si>
  <si>
    <t>Positive</t>
  </si>
  <si>
    <t>Negative</t>
  </si>
  <si>
    <t>Quick Navigation</t>
  </si>
  <si>
    <t>Student Login</t>
  </si>
  <si>
    <t>Student</t>
  </si>
  <si>
    <t>Admin Login</t>
  </si>
  <si>
    <t>Admin</t>
  </si>
  <si>
    <t>Student Dashboard</t>
  </si>
  <si>
    <t>Browse Jobs</t>
  </si>
  <si>
    <t>My Skills</t>
  </si>
  <si>
    <t>Skill Gap Analysis</t>
  </si>
  <si>
    <t>My Applications</t>
  </si>
  <si>
    <t>Admin Dashboard</t>
  </si>
  <si>
    <t>Manage Jobs</t>
  </si>
  <si>
    <t>Students Directory</t>
  </si>
  <si>
    <t>All Applications</t>
  </si>
  <si>
    <t>Total Suite Coverage</t>
  </si>
  <si>
    <t>11 Sheets</t>
  </si>
  <si>
    <t>SkillBridge - Student Login &amp; Authentication</t>
  </si>
  <si>
    <t>Test Case ID</t>
  </si>
  <si>
    <t>Test Title</t>
  </si>
  <si>
    <t>Test Type</t>
  </si>
  <si>
    <t>Test Steps</t>
  </si>
  <si>
    <t>Test Data</t>
  </si>
  <si>
    <t>Expected Result</t>
  </si>
  <si>
    <t>Actual Result</t>
  </si>
  <si>
    <t>Status</t>
  </si>
  <si>
    <t>TC_SLOG_001</t>
  </si>
  <si>
    <t>Verify successful student login with valid credentials</t>
  </si>
  <si>
    <t>1. Navigate to application login page.
2. Enter valid registered student email in Email field.
3. Enter valid student password.
4. Select 'Student' from Portal dropdown.
5. Click 'Open student portal' button.</t>
  </si>
  <si>
    <t>Email: aarav@example.com
Password: validPassword123
Portal: Student</t>
  </si>
  <si>
    <t>User authenticates successfully and is redirected to the Student Dashboard showing greeting 'Hello, Aarav.'.</t>
  </si>
  <si>
    <t>Successfully logged in and redirected to Student Dashboard.</t>
  </si>
  <si>
    <t>Pass</t>
  </si>
  <si>
    <t>TC_SLOG_002</t>
  </si>
  <si>
    <t>Verify login error handling with incorrect password</t>
  </si>
  <si>
    <t>1. Open login page.
2. Enter valid registered student email.
3. Enter wrong password.
4. Select 'Student' from Portal dropdown.
5. Click 'Open student portal'.</t>
  </si>
  <si>
    <t>Email: aarav@example.com
Password: WrongPassword999
Portal: Student</t>
  </si>
  <si>
    <t>System rejects authentication, displays 'Invalid email or password' error message, and retains user on login screen.</t>
  </si>
  <si>
    <t>Error alert displayed as expected; login blocked.</t>
  </si>
  <si>
    <t>TC_SLOG_003</t>
  </si>
  <si>
    <t>Verify email syntax validation on malformed email input</t>
  </si>
  <si>
    <t>1. Enter malformed email string lacking '@' or domain.
2. Enter arbitrary password.
3. Click 'Open student portal'.</t>
  </si>
  <si>
    <t>Email: aarav_invalid_email.com
Password: Password123
Portal: Student</t>
  </si>
  <si>
    <t>Browser HTML5 validation tooltip appears: 'Please include an '@' in the email address'. Form submission is halted.</t>
  </si>
  <si>
    <t>Browser validation tooltip shown; form not submitted.</t>
  </si>
  <si>
    <t>TC_SLOG_004</t>
  </si>
  <si>
    <t>Verify form validation when mandatory fields are empty</t>
  </si>
  <si>
    <t>1. Leave Email and Password input fields blank.
2. Click 'Open student portal' button.</t>
  </si>
  <si>
    <t>Email: [BLANK]
Password: [BLANK]
Portal: Student</t>
  </si>
  <si>
    <t>Required field indicators trigger with validation prompt 'Please fill out this field'. Form is not submitted.</t>
  </si>
  <si>
    <t>Validation prompts displayed on required fields.</t>
  </si>
  <si>
    <t>TC_SLOG_005</t>
  </si>
  <si>
    <t>Verify portal selector dynamically updates CTA button label</t>
  </si>
  <si>
    <t>1. Open login page.
2. Verify initial CTA text.
3. Select 'Student' from Portal dropdown.
4. Change Portal dropdown to 'Administrator'.</t>
  </si>
  <si>
    <t>Portal: Student / Administrator</t>
  </si>
  <si>
    <t>CTA button text dynamically switches between 'Open student portal' and 'Open admin portal'.</t>
  </si>
  <si>
    <t>Button text dynamically toggled as expected.</t>
  </si>
  <si>
    <t>TC_SLOG_006</t>
  </si>
  <si>
    <t>Verify route protection redirects unauthenticated users to login</t>
  </si>
  <si>
    <t>1. Open a new private/incognito browser window.
2. Enter protected URL directly: 'http://localhost:5174/dashboard'.</t>
  </si>
  <si>
    <t>URL: http://localhost:5174/dashboard (Unauthenticated)</t>
  </si>
  <si>
    <t>Auth guard intercepts request and redirects browser to login screen.</t>
  </si>
  <si>
    <t>Direct route access blocked; redirected to login.</t>
  </si>
  <si>
    <t>SkillBridge - Administrator Login &amp; Access Control</t>
  </si>
  <si>
    <t>TC_ALOG_001</t>
  </si>
  <si>
    <t>Verify successful administrator login with valid credentials</t>
  </si>
  <si>
    <t>1. Open login page.
2. Enter valid admin email address.
3. Enter valid admin password.
4. Select 'Administrator' in Portal dropdown.
5. Click 'Open admin portal'.</t>
  </si>
  <si>
    <t>Email: admin@example.com
Password: AdminPassword123
Portal: Administrator</t>
  </si>
  <si>
    <t>User authenticates and redirects to Admin Dashboard displaying Live jobs, Applications, and Students stat cards.</t>
  </si>
  <si>
    <t>Successfully authenticated and redirected to Admin Dashboard.</t>
  </si>
  <si>
    <t>TC_ALOG_002</t>
  </si>
  <si>
    <t>Verify RBAC denies student credentials access to admin portal</t>
  </si>
  <si>
    <t>1. Enter student credentials.
2. Select 'Administrator' in Portal dropdown.
3. Click 'Open admin portal'.</t>
  </si>
  <si>
    <t>Email: aarav@example.com
Password: studentPassword
Portal: Administrator</t>
  </si>
  <si>
    <t>Authentication fails with unauthorized access notification; admin view is not accessible.</t>
  </si>
  <si>
    <t>Unauthorized access blocked; error message displayed.</t>
  </si>
  <si>
    <t>TC_ALOG_003</t>
  </si>
  <si>
    <t>Verify sign out invalidates active session and redirects to login</t>
  </si>
  <si>
    <t>1. Log in to portal.
2. In the bottom sidebar navigation, click 'Sign out'.
3. Attempt to use browser back button.</t>
  </si>
  <si>
    <t>Action: Click 'Sign out'</t>
  </si>
  <si>
    <t>Session state is terminated, user is navigated to Login page, and back button does not restore protected page.</t>
  </si>
  <si>
    <t>Session terminated; user redirected to login view.</t>
  </si>
  <si>
    <t>SkillBridge - Student Dashboard &amp; Overview</t>
  </si>
  <si>
    <t>TC_SDB_001</t>
  </si>
  <si>
    <t>Verify personalized greeting card reflects logged-in student name</t>
  </si>
  <si>
    <t>1. Log in as student Aarav.
2. Inspect top banner in 'YOUR CAREER SNAPSHOT' section.</t>
  </si>
  <si>
    <t>User: Aarav Kumar</t>
  </si>
  <si>
    <t>Banner dynamically displays 'Hello, Aarav.' and subtitle 'Build the skills that unlock your next opportunity.'.</t>
  </si>
  <si>
    <t>Header displays 'Hello, Aarav.' accurately.</t>
  </si>
  <si>
    <t>TC_SDB_002</t>
  </si>
  <si>
    <t>Verify KPI summary counters accurately calculate student metrics</t>
  </si>
  <si>
    <t>1. Navigate to Student Dashboard.
2. Inspect the 3 stat cards: 'Skills', 'Applications', 'Best match'.</t>
  </si>
  <si>
    <t>Profile State: 3 Skills (CSS, react, javascript), 0 Applications, Best job match 100%</t>
  </si>
  <si>
    <t>Cards accurately display: '3 Skills', '0 Applications', and '100% Best match'.</t>
  </si>
  <si>
    <t>Stat cards render 3 Skills, 0 Applications, 100% Best match.</t>
  </si>
  <si>
    <t>TC_SDB_003</t>
  </si>
  <si>
    <t>Verify recommended roles cards render complete job metadata</t>
  </si>
  <si>
    <t>1. Scroll to 'Recommended roles' section on Dashboard.
2. Verify each displayed job card.</t>
  </si>
  <si>
    <t>Roles: Frontend Developer Intern (Nova Labs), UI Designer (Pixel Studio), Data Analyst (Insight Co.)</t>
  </si>
  <si>
    <t>Each card renders Match Badge (e.g. 100% match), Job Title, Company, Location, Skill pills, and action button.</t>
  </si>
  <si>
    <t>Job cards render complete metadata accurately.</t>
  </si>
  <si>
    <t>TC_SDB_004</t>
  </si>
  <si>
    <t>Verify clicking 'Apply now' from dashboard card submits application</t>
  </si>
  <si>
    <t>1. On Dashboard, locate 'Frontend Developer Intern' card with active 'Apply now' button.
2. Click 'Apply now'.</t>
  </si>
  <si>
    <t>Role: Frontend Developer Intern</t>
  </si>
  <si>
    <t>Button transitions to disabled 'Applied' state; 'Applications' KPI counter increments from 0 to 1.</t>
  </si>
  <si>
    <t>Button state updated to 'Applied'; application counter incremented.</t>
  </si>
  <si>
    <t>TC_JOB_001</t>
  </si>
  <si>
    <t>Verify all published job openings appear in browse jobs list</t>
  </si>
  <si>
    <t>1. Click 'Jobs' from the sidebar navigation.
2. Inspect the listings under 'Browse jobs'.</t>
  </si>
  <si>
    <t>Active Postings: Frontend Developer Intern, UI Designer, Data Analyst</t>
  </si>
  <si>
    <t>All published roles are rendered with Role Title, Company, Location, and required skill pills.</t>
  </si>
  <si>
    <t>All active job postings displayed properly.</t>
  </si>
  <si>
    <t>TC_JOB_002</t>
  </si>
  <si>
    <t>Verify match percentage logic reflects student's acquired skills</t>
  </si>
  <si>
    <t>1. Inspect match percentage badge on each role card in Browse Jobs.</t>
  </si>
  <si>
    <t>Student Skills: React, CSS | Frontend needs React, JS, CSS | UI Designer needs Figma, CSS, Comm | Data Analyst needs Python, SQL, Excel</t>
  </si>
  <si>
    <t>Match badges render calculated scores accurately (e.g., 100% / 67% match, 33% match, 0% match).</t>
  </si>
  <si>
    <t>Badges match calculated skill overlap percentages.</t>
  </si>
  <si>
    <t>TC_JOB_003</t>
  </si>
  <si>
    <t>Verify applying to job disables button and persists state</t>
  </si>
  <si>
    <t>1. Click 'Apply now' on 'UI Designer'.
2. Verify button changes to 'Applied'.
3. Navigate to Dashboard and back to Jobs.</t>
  </si>
  <si>
    <t>Role: UI Designer</t>
  </si>
  <si>
    <t>Button remains in disabled 'Applied' state across page navigation and page reloads.</t>
  </si>
  <si>
    <t>'Applied' state retained consistently across tabs and refreshes.</t>
  </si>
  <si>
    <t>TC_SKL_001</t>
  </si>
  <si>
    <t>Verify current skills render as dismissible tag pills</t>
  </si>
  <si>
    <t>1. Navigate to 'Skills' from sidebar navigation.
2. Observe rendered skill tags beneath the input field.</t>
  </si>
  <si>
    <t>Active Skills: CSS, react</t>
  </si>
  <si>
    <t>Skills display in rounded tag pill format with a remove ('×') icon (e.g. 'CSS ×', 'react ×').</t>
  </si>
  <si>
    <t>Pills rendered with 'CSS ×' and 'react ×'.</t>
  </si>
  <si>
    <t>TC_SKL_002</t>
  </si>
  <si>
    <t>Verify adding a valid skill appends tag and clears input</t>
  </si>
  <si>
    <t>1. Type 'JavaScript' into 'Add a skill' input field.
2. Click 'Add' button (or press Enter).</t>
  </si>
  <si>
    <t>Skill: JavaScript</t>
  </si>
  <si>
    <t>New pill 'JavaScript ×' appends to skills list; text input clears automatically.</t>
  </si>
  <si>
    <t>Skill pill added and input box cleared.</t>
  </si>
  <si>
    <t>TC_SKL_003</t>
  </si>
  <si>
    <t>Verify clicking '×' icon removes skill immediately</t>
  </si>
  <si>
    <t>1. Locate 'react ×' skill pill on 'My skills' page.
2. Click the '×' button.</t>
  </si>
  <si>
    <t>Target Skill: react ×</t>
  </si>
  <si>
    <t>Skill pill 'react' is removed immediately from user profile and UI.</t>
  </si>
  <si>
    <t>Tag removed immediately from UI and profile state.</t>
  </si>
  <si>
    <t>TC_SKL_004</t>
  </si>
  <si>
    <t>Verify duplicate skill additions are prevented</t>
  </si>
  <si>
    <t>1. Type 'CSS' into 'Add a skill' input (already existing skill).
2. Click 'Add'.</t>
  </si>
  <si>
    <t>Skill: CSS (Duplicate)</t>
  </si>
  <si>
    <t>System prevents adding duplicate skill; tag list remains unchanged without duplicates.</t>
  </si>
  <si>
    <t>Duplicate entry blocked; list unchanged.</t>
  </si>
  <si>
    <t>TC_SKL_005</t>
  </si>
  <si>
    <t>Verify empty or whitespace-only skill submission is rejected</t>
  </si>
  <si>
    <t>1. Focus 'Add a skill' input.
2. Leave blank or enter whitespace spaces ('   ').
3. Click 'Add'.</t>
  </si>
  <si>
    <t>Input: [Blank / Spaces]</t>
  </si>
  <si>
    <t>Submission is rejected; no empty tag pill is generated.</t>
  </si>
  <si>
    <t>No pill created; blank submission blocked.</t>
  </si>
  <si>
    <t>TC_GAP_001</t>
  </si>
  <si>
    <t>Verify skill gap list explicitly tags missing required skills</t>
  </si>
  <si>
    <t>1. Navigate to 'Skill Gap' from sidebar navigation.
2. Inspect target role cards and missing skill badges.</t>
  </si>
  <si>
    <t>Student Skills: React, CSS | Data Analyst requires Python, SQL, Excel</t>
  </si>
  <si>
    <t>Data Analyst displays '0% match' and explicitly tags missing competencies: 'Python', 'SQL', 'Excel'.</t>
  </si>
  <si>
    <t>Missing skill pills rendered clearly for all unfulfilled requirements.</t>
  </si>
  <si>
    <t>TC_GAP_002</t>
  </si>
  <si>
    <t>Verify roles with 100% match display zero missing skills</t>
  </si>
  <si>
    <t>1. Ensure student profile possesses React, JavaScript, CSS.
2. Inspect 'Frontend Developer Intern' in Skill Gap Analysis.</t>
  </si>
  <si>
    <t>Card displays '100% match' and shows no missing skill pills.</t>
  </si>
  <si>
    <t>100% match displayed; no missing skills shown.</t>
  </si>
  <si>
    <t>TC_GAP_003</t>
  </si>
  <si>
    <t>Verify real-time recalculation upon adding a required skill</t>
  </si>
  <si>
    <t>1. In 'Skills' module, add 'Python'.
2. Return to 'Skill Gap' page.
3. Inspect 'Data Analyst' card.</t>
  </si>
  <si>
    <t>Added Skill: Python</t>
  </si>
  <si>
    <t>Data Analyst match score increments (0% -&gt; 33%) and 'Python' tag disappears from missing skills list.</t>
  </si>
  <si>
    <t>Dynamic recalculation verified; Python removed from missing skills.</t>
  </si>
  <si>
    <t>TC_SAPP_001</t>
  </si>
  <si>
    <t>Verify empty state placeholder displays when 0 applications exist</t>
  </si>
  <si>
    <t>1. Log in with a fresh student account with zero applications.
2. Navigate to 'Applications' module.</t>
  </si>
  <si>
    <t>Account: 0 Applications</t>
  </si>
  <si>
    <t>Centered empty-state placeholder displays: 'No applications yet.'.</t>
  </si>
  <si>
    <t>Placeholder message rendered cleanly.</t>
  </si>
  <si>
    <t>TC_SAPP_002</t>
  </si>
  <si>
    <t>Verify application table columns and record metadata formatting</t>
  </si>
  <si>
    <t>1. Submit application for 'Frontend Developer Intern'.
2. Open 'My applications' page.
3. Inspect application table.</t>
  </si>
  <si>
    <t>Role: Frontend Developer Intern | Company: Nova Labs</t>
  </si>
  <si>
    <t>Table displays columns 'Role', 'Company', 'Status', 'Applied' with values 'Frontend Developer Intern', 'Nova Labs', 'Submitted', and formatted date (e.g. 9/5/2026).</t>
  </si>
  <si>
    <t>Table headers and submitted record attributes displayed correctly.</t>
  </si>
  <si>
    <t>TC_ADB_001</t>
  </si>
  <si>
    <t>Verify admin metric cards display accurate system counts</t>
  </si>
  <si>
    <t>1. Log in as Administrator.
2. Inspect KPI cards on Admin Dashboard: 'Live jobs', 'Applications', 'Students'.</t>
  </si>
  <si>
    <t>System State: 3 active jobs, 0 applications, 1 registered student</t>
  </si>
  <si>
    <t>Dashboard accurately displays '3 Live jobs', '0 Applications', and '1 Students'.</t>
  </si>
  <si>
    <t>Counters accurately display 3 Live jobs, 0 Applications, 1 Students.</t>
  </si>
  <si>
    <t>TC_ADB_002</t>
  </si>
  <si>
    <t>Verify 'Recent applications' empty state placeholder</t>
  </si>
  <si>
    <t>1. Access Admin Dashboard when no student applications have been logged.
2. Inspect 'Recent applications' card section.</t>
  </si>
  <si>
    <t>System State: Applications = 0</t>
  </si>
  <si>
    <t>Section renders clean empty-state container displaying 'No applications yet.'.</t>
  </si>
  <si>
    <t>Placeholder displayed as expected.</t>
  </si>
  <si>
    <t>TC_MNG_001</t>
  </si>
  <si>
    <t>Verify admin can publish a new job opening successfully</t>
  </si>
  <si>
    <t>1. Navigate to 'Jobs' in admin portal.
2. Fill Title, Company, Location, and Skills.
3. Click 'Publish job'.</t>
  </si>
  <si>
    <t>Title: DevOps Engineer
Company: CloudTech
Location: Remote
Skills: Docker, Kubernetes, AWS</t>
  </si>
  <si>
    <t>Form submits and resets fields; job appears in active listing below; 'Live jobs' metric increments by 1.</t>
  </si>
  <si>
    <t>Job published and listed under active jobs; counter updated.</t>
  </si>
  <si>
    <t>TC_MNG_002</t>
  </si>
  <si>
    <t>Verify validation when submitting job form with blank required fields</t>
  </si>
  <si>
    <t>1. Leave 'Title' or 'Company' empty.
2. Click 'Publish job'.</t>
  </si>
  <si>
    <t>Title: [BLANK]
Company: CloudTech
Location: Remote
Skills: React</t>
  </si>
  <si>
    <t>Form submission is blocked with HTML5 required field validation prompt.</t>
  </si>
  <si>
    <t>Submission prevented with validation prompt.</t>
  </si>
  <si>
    <t>TC_MNG_003</t>
  </si>
  <si>
    <t>Verify comma-separated skills input parses into distinct badges</t>
  </si>
  <si>
    <t>1. Enter 'Python, SQL, PowerBI' in Skills field.
2. Complete required fields and click 'Publish job'.
3. Check the published job card in Student Browse Jobs.</t>
  </si>
  <si>
    <t>Skills: 'Python, SQL, PowerBI'</t>
  </si>
  <si>
    <t>Skills string parses into 3 individual tags: [Python] [SQL] [PowerBI].</t>
  </si>
  <si>
    <t>Tags parsed cleanly without residual comma characters.</t>
  </si>
  <si>
    <t>TC_MNG_004</t>
  </si>
  <si>
    <t>Verify 'Remove listing' deletes job and updates student listings</t>
  </si>
  <si>
    <t>1. Locate job card under 'Manage jobs'.
2. Click 'Remove listing'.
3. Inspect Admin Dashboard and Student Browse Jobs.</t>
  </si>
  <si>
    <t>Action: Click 'Remove listing'</t>
  </si>
  <si>
    <t>Job is removed from active listings, 'Live jobs' counter decrements, and role is removed from student portal.</t>
  </si>
  <si>
    <t>Job removed across admin and student views successfully.</t>
  </si>
  <si>
    <t>TC_STU_001</t>
  </si>
  <si>
    <t>Verify student directory card renders profile and skill details</t>
  </si>
  <si>
    <t>1. Log in as Admin.
2. Click 'Students' in sidebar menu.
3. Inspect candidate cards.</t>
  </si>
  <si>
    <t>Student: Aarav Kumar (aarav@example.com, Skills: React, JavaScript, CSS)</t>
  </si>
  <si>
    <t>Card renders student Full Name, Email address, and active skill pill tags accurately.</t>
  </si>
  <si>
    <t>Student profile and skill tags rendered accurately.</t>
  </si>
  <si>
    <t>TC_STU_002</t>
  </si>
  <si>
    <t>Verify live synchronization of student skill updates to admin directory</t>
  </si>
  <si>
    <t>1. In student portal, add skill 'Node.js'.
2. In admin portal, open 'Students' directory.
3. Inspect Aarav Kumar's card.</t>
  </si>
  <si>
    <t>Action: Student added 'Node.js'</t>
  </si>
  <si>
    <t>Admin students directory displays updated skill list including 'Node.js'.</t>
  </si>
  <si>
    <t>Skill update synchronized immediately.</t>
  </si>
  <si>
    <t>TC_AAPP_001</t>
  </si>
  <si>
    <t>Verify admin applications view displays candidate submissions</t>
  </si>
  <si>
    <t>1. Submit a job application in student portal.
2. Navigate to 'Applications' in admin portal.
3. Inspect applications table.</t>
  </si>
  <si>
    <t>Application: Aarav Kumar -&gt; Frontend Developer Intern</t>
  </si>
  <si>
    <t>Admin table renders application record showing Candidate Name, Role, Date, and Status.</t>
  </si>
  <si>
    <t>Candidate application displayed with accurate student details.</t>
  </si>
  <si>
    <t>TC_AAPP_002</t>
  </si>
  <si>
    <t>Verify empty state placeholder when 0 applications exist system-wide</t>
  </si>
  <si>
    <t>1. In clean test environment with 0 applications, navigate to Admin 'Applications'.</t>
  </si>
  <si>
    <t>Applications: 0</t>
  </si>
  <si>
    <t>Page displays centered placeholder message: 'No applications yet.'.</t>
  </si>
  <si>
    <t>StarkFusion - Browse Jobs (Student)</t>
  </si>
  <si>
    <t>StarkFusion - My Skills (Student)</t>
  </si>
  <si>
    <t>StarkFusion - Skill Gap Analysis (Student)</t>
  </si>
  <si>
    <t>StarkFusion - My Applications (Student)</t>
  </si>
  <si>
    <t>StarkFusion - Admin Dashboard &amp; Metrics</t>
  </si>
  <si>
    <t>StarkFusion - Manage Jobs (Admin)</t>
  </si>
  <si>
    <t>StarkFusion - Students Directory (Admin)</t>
  </si>
  <si>
    <t>StarkFusion - All Applications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</si>
</sst>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5"/>
      <color rgb="FFFFFFFF"/>
      <name val="Calibri"/>
    </font>
    <font>
      <i/>
      <sz val="10"/>
      <color rgb="FF475569"/>
      <name val="Calibri"/>
    </font>
    <font>
      <b/>
      <sz val="9.5"/>
      <color rgb="FF475569"/>
      <name val="Calibri"/>
    </font>
    <font>
      <b/>
      <sz val="14"/>
      <color rgb="FF0F172A"/>
      <name val="Calibri"/>
    </font>
    <font>
      <b/>
      <sz val="14"/>
      <color rgb="FF166534"/>
      <name val="Calibri"/>
    </font>
    <font>
      <b/>
      <sz val="14"/>
      <color rgb="FF0D9488"/>
      <name val="Calibri"/>
    </font>
    <font>
      <b/>
      <sz val="11"/>
      <color rgb="FF0F172A"/>
      <name val="Calibri"/>
    </font>
    <font>
      <b/>
      <sz val="10"/>
      <color rgb="FFFFFFFF"/>
      <name val="Calibri"/>
    </font>
    <font>
      <b/>
      <sz val="10"/>
      <color rgb="FF0F766E"/>
      <name val="Calibri"/>
    </font>
    <font>
      <sz val="10"/>
      <name val="Calibri"/>
    </font>
    <font>
      <b/>
      <sz val="10"/>
      <name val="Calibri"/>
    </font>
    <font>
      <b/>
      <u/>
      <sz val="9.5"/>
      <color rgb="FF2563EB"/>
      <name val="Calibri"/>
    </font>
    <font>
      <b/>
      <u/>
      <sz val="10"/>
      <color rgb="FF2563EB"/>
      <name val="Calibri"/>
    </font>
    <font>
      <b/>
      <sz val="9.5"/>
      <color rgb="FF0F172A"/>
      <name val="Calibri"/>
    </font>
    <font>
      <b/>
      <sz val="9.5"/>
      <color rgb="FF1E293B"/>
      <name val="Calibri"/>
    </font>
    <font>
      <sz val="9.5"/>
      <color rgb="FF1D4ED8"/>
      <name val="Calibri"/>
    </font>
    <font>
      <sz val="9.5"/>
      <color rgb="FF334155"/>
      <name val="Calibri"/>
    </font>
    <font>
      <sz val="9.5"/>
      <color rgb="FF1E293B"/>
      <name val="Calibri"/>
    </font>
    <font>
      <b/>
      <sz val="9.5"/>
      <color rgb="FF166534"/>
      <name val="Calibri"/>
    </font>
    <font>
      <sz val="9.5"/>
      <color rgb="FFB91C1C"/>
      <name val="Calibri"/>
    </font>
  </fonts>
  <fills count="8">
    <fill>
      <patternFill patternType="none"/>
    </fill>
    <fill>
      <patternFill patternType="gray125"/>
    </fill>
    <fill>
      <patternFill patternType="solid">
        <fgColor rgb="FF1E293B"/>
        <bgColor rgb="FF1E293B"/>
      </patternFill>
    </fill>
    <fill>
      <patternFill patternType="solid">
        <fgColor rgb="FFF1F5F9"/>
        <bgColor rgb="FFF1F5F9"/>
      </patternFill>
    </fill>
    <fill>
      <patternFill patternType="solid">
        <fgColor rgb="FF334155"/>
        <bgColor rgb="FF334155"/>
      </patternFill>
    </fill>
    <fill>
      <patternFill patternType="solid">
        <fgColor rgb="FFF8FAFC"/>
        <bgColor rgb="FFF8FAFC"/>
      </patternFill>
    </fill>
    <fill>
      <patternFill patternType="solid">
        <fgColor rgb="FFE2E8F0"/>
        <bgColor rgb="FFE2E8F0"/>
      </patternFill>
    </fill>
    <fill>
      <patternFill patternType="solid">
        <fgColor rgb="FFDCFCE7"/>
        <bgColor rgb="FFDCFCE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0">
    <xf numFmtId="0" fontId="0" fillId="0" borderId="0" xfId="0"/>
    <xf numFmtId="0" fontId="2" fillId="0" borderId="0" xfId="0" applyFont="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7" fillId="0" borderId="0" xfId="0" applyFont="1"/>
    <xf numFmtId="0" fontId="8" fillId="4" borderId="1" xfId="0" applyFont="1" applyFill="1" applyBorder="1" applyAlignment="1">
      <alignment horizontal="left" vertical="center"/>
    </xf>
    <xf numFmtId="0" fontId="8" fillId="4" borderId="1" xfId="0" applyFont="1" applyFill="1" applyBorder="1" applyAlignment="1">
      <alignment horizontal="center"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11" fillId="0" borderId="1" xfId="0" applyFont="1" applyBorder="1" applyAlignment="1">
      <alignment horizontal="center" vertical="center"/>
    </xf>
    <xf numFmtId="0" fontId="10" fillId="0" borderId="1" xfId="0" applyFont="1" applyBorder="1" applyAlignment="1">
      <alignment horizontal="center" vertical="center"/>
    </xf>
    <xf numFmtId="0" fontId="12" fillId="0" borderId="1" xfId="0" applyFont="1" applyBorder="1" applyAlignment="1">
      <alignment horizontal="center" vertical="center"/>
    </xf>
    <xf numFmtId="0" fontId="9" fillId="5" borderId="1" xfId="0" applyFont="1" applyFill="1" applyBorder="1" applyAlignment="1">
      <alignment horizontal="left" vertical="center"/>
    </xf>
    <xf numFmtId="0" fontId="10" fillId="5" borderId="1" xfId="0" applyFont="1" applyFill="1" applyBorder="1" applyAlignment="1">
      <alignment horizontal="left" vertical="center"/>
    </xf>
    <xf numFmtId="0" fontId="11"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1" fillId="6" borderId="1" xfId="0" applyFont="1" applyFill="1" applyBorder="1"/>
    <xf numFmtId="0" fontId="11" fillId="6" borderId="1" xfId="0" applyFont="1" applyFill="1" applyBorder="1" applyAlignment="1">
      <alignment horizontal="center" vertical="center"/>
    </xf>
    <xf numFmtId="0" fontId="10" fillId="6" borderId="1" xfId="0" applyFont="1" applyFill="1" applyBorder="1"/>
    <xf numFmtId="0" fontId="8" fillId="2" borderId="1" xfId="0" applyFont="1" applyFill="1" applyBorder="1" applyAlignment="1">
      <alignment horizontal="center" vertical="center"/>
    </xf>
    <xf numFmtId="0" fontId="8" fillId="2" borderId="1" xfId="0" applyFont="1" applyFill="1" applyBorder="1" applyAlignment="1">
      <alignment horizontal="left" vertical="center"/>
    </xf>
    <xf numFmtId="0" fontId="14" fillId="0" borderId="1" xfId="0" applyFont="1" applyBorder="1" applyAlignment="1">
      <alignment horizontal="center" vertical="center" wrapText="1"/>
    </xf>
    <xf numFmtId="0" fontId="15" fillId="0" borderId="1" xfId="0" applyFont="1" applyBorder="1" applyAlignment="1">
      <alignment horizontal="left" vertical="center" wrapText="1"/>
    </xf>
    <xf numFmtId="0" fontId="16" fillId="0" borderId="1" xfId="0" applyFont="1" applyBorder="1" applyAlignment="1">
      <alignment horizontal="center" vertical="center" wrapText="1"/>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9" fillId="7"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5" fillId="5" borderId="1" xfId="0" applyFont="1" applyFill="1" applyBorder="1" applyAlignment="1">
      <alignment horizontal="left" vertical="center" wrapText="1"/>
    </xf>
    <xf numFmtId="0" fontId="20" fillId="5" borderId="1" xfId="0" applyFont="1" applyFill="1" applyBorder="1" applyAlignment="1">
      <alignment horizontal="center" vertical="center" wrapText="1"/>
    </xf>
    <xf numFmtId="0" fontId="17" fillId="5" borderId="1" xfId="0" applyFont="1" applyFill="1" applyBorder="1" applyAlignment="1">
      <alignment horizontal="left" vertical="top" wrapText="1"/>
    </xf>
    <xf numFmtId="0" fontId="18" fillId="5" borderId="1" xfId="0" applyFont="1" applyFill="1" applyBorder="1" applyAlignment="1">
      <alignment horizontal="left" vertical="top" wrapText="1"/>
    </xf>
    <xf numFmtId="0" fontId="20" fillId="0" borderId="1" xfId="0" applyFont="1" applyBorder="1" applyAlignment="1">
      <alignment horizontal="center" vertical="center" wrapText="1"/>
    </xf>
    <xf numFmtId="0" fontId="16" fillId="5" borderId="1" xfId="0" applyFont="1" applyFill="1" applyBorder="1" applyAlignment="1">
      <alignment horizontal="center" vertical="center" wrapText="1"/>
    </xf>
    <xf numFmtId="10" fontId="6" fillId="3" borderId="1" xfId="0" applyNumberFormat="1" applyFont="1" applyFill="1" applyBorder="1" applyAlignment="1">
      <alignment horizontal="center" vertical="center"/>
    </xf>
    <xf numFmtId="0" fontId="13" fillId="0" borderId="0" xfId="0" applyFont="1" applyAlignment="1">
      <alignment horizontal="left" vertical="center"/>
    </xf>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opLeftCell="A2" workbookViewId="0">
      <selection activeCell="F5" sqref="F5"/>
    </sheetView>
  </sheetViews>
  <sheetFormatPr defaultRowHeight="15" x14ac:dyDescent="0.25"/>
  <cols>
    <col min="1" max="1" width="4" customWidth="1"/>
    <col min="2" max="2" width="24" customWidth="1"/>
    <col min="3" max="3" width="16" customWidth="1"/>
    <col min="4" max="6" width="14" customWidth="1"/>
    <col min="7" max="7" width="24" customWidth="1"/>
  </cols>
  <sheetData>
    <row r="1" spans="1:7" ht="36" customHeight="1" x14ac:dyDescent="0.25">
      <c r="A1" s="39" t="s">
        <v>0</v>
      </c>
      <c r="B1" s="38"/>
      <c r="C1" s="38"/>
      <c r="D1" s="38"/>
      <c r="E1" s="38"/>
      <c r="F1" s="38"/>
      <c r="G1" s="38"/>
    </row>
    <row r="2" spans="1:7" ht="20.100000000000001" customHeight="1" x14ac:dyDescent="0.25">
      <c r="A2" s="1"/>
    </row>
    <row r="4" spans="1:7" ht="20.100000000000001" customHeight="1" x14ac:dyDescent="0.25">
      <c r="B4" s="2" t="s">
        <v>1</v>
      </c>
      <c r="C4" s="2" t="s">
        <v>2</v>
      </c>
      <c r="D4" s="2" t="s">
        <v>3</v>
      </c>
      <c r="E4" s="2" t="s">
        <v>4</v>
      </c>
    </row>
    <row r="5" spans="1:7" ht="26.1" customHeight="1" x14ac:dyDescent="0.25">
      <c r="B5" s="3" t="s">
        <v>5</v>
      </c>
      <c r="C5" s="3" t="s">
        <v>6</v>
      </c>
      <c r="D5" s="4">
        <v>36</v>
      </c>
      <c r="E5" s="36">
        <v>1</v>
      </c>
    </row>
    <row r="7" spans="1:7" x14ac:dyDescent="0.25">
      <c r="B7" s="5" t="s">
        <v>7</v>
      </c>
    </row>
    <row r="8" spans="1:7" ht="24" customHeight="1" x14ac:dyDescent="0.25">
      <c r="B8" s="6" t="s">
        <v>8</v>
      </c>
      <c r="C8" s="6" t="s">
        <v>9</v>
      </c>
      <c r="D8" s="7" t="s">
        <v>10</v>
      </c>
      <c r="E8" s="7" t="s">
        <v>11</v>
      </c>
      <c r="F8" s="7" t="s">
        <v>12</v>
      </c>
      <c r="G8" s="7" t="s">
        <v>13</v>
      </c>
    </row>
    <row r="9" spans="1:7" ht="20.100000000000001" customHeight="1" x14ac:dyDescent="0.25">
      <c r="B9" s="8" t="s">
        <v>14</v>
      </c>
      <c r="C9" s="9" t="s">
        <v>15</v>
      </c>
      <c r="D9" s="10">
        <v>6</v>
      </c>
      <c r="E9" s="11">
        <v>2</v>
      </c>
      <c r="F9" s="11">
        <v>4</v>
      </c>
      <c r="G9" s="12" t="str">
        <f>HYPERLINK("#'Student Login'!A1", "Go to Student Login →")</f>
        <v>Go to Student Login →</v>
      </c>
    </row>
    <row r="10" spans="1:7" ht="20.100000000000001" customHeight="1" x14ac:dyDescent="0.25">
      <c r="B10" s="13" t="s">
        <v>16</v>
      </c>
      <c r="C10" s="14" t="s">
        <v>17</v>
      </c>
      <c r="D10" s="15">
        <v>3</v>
      </c>
      <c r="E10" s="16">
        <v>2</v>
      </c>
      <c r="F10" s="16">
        <v>1</v>
      </c>
      <c r="G10" s="17" t="str">
        <f>HYPERLINK("#'Admin Login'!A1", "Go to Admin Login →")</f>
        <v>Go to Admin Login →</v>
      </c>
    </row>
    <row r="11" spans="1:7" ht="20.100000000000001" customHeight="1" x14ac:dyDescent="0.25">
      <c r="B11" s="8" t="s">
        <v>18</v>
      </c>
      <c r="C11" s="9" t="s">
        <v>15</v>
      </c>
      <c r="D11" s="10">
        <v>4</v>
      </c>
      <c r="E11" s="11">
        <v>4</v>
      </c>
      <c r="F11" s="11">
        <v>0</v>
      </c>
      <c r="G11" s="12" t="str">
        <f>HYPERLINK("#'Student Dashboard'!A1", "Go to Student Dashboard →")</f>
        <v>Go to Student Dashboard →</v>
      </c>
    </row>
    <row r="12" spans="1:7" ht="20.100000000000001" customHeight="1" x14ac:dyDescent="0.25">
      <c r="B12" s="13" t="s">
        <v>19</v>
      </c>
      <c r="C12" s="14" t="s">
        <v>15</v>
      </c>
      <c r="D12" s="15">
        <v>3</v>
      </c>
      <c r="E12" s="16">
        <v>3</v>
      </c>
      <c r="F12" s="16">
        <v>0</v>
      </c>
      <c r="G12" s="17" t="str">
        <f>HYPERLINK("#'Browse Jobs'!A1", "Go to Browse Jobs →")</f>
        <v>Go to Browse Jobs →</v>
      </c>
    </row>
    <row r="13" spans="1:7" ht="20.100000000000001" customHeight="1" x14ac:dyDescent="0.25">
      <c r="B13" s="8" t="s">
        <v>20</v>
      </c>
      <c r="C13" s="9" t="s">
        <v>15</v>
      </c>
      <c r="D13" s="10">
        <v>5</v>
      </c>
      <c r="E13" s="11">
        <v>3</v>
      </c>
      <c r="F13" s="11">
        <v>2</v>
      </c>
      <c r="G13" s="12" t="str">
        <f>HYPERLINK("#'My Skills'!A1", "Go to My Skills →")</f>
        <v>Go to My Skills →</v>
      </c>
    </row>
    <row r="14" spans="1:7" ht="20.100000000000001" customHeight="1" x14ac:dyDescent="0.25">
      <c r="B14" s="13" t="s">
        <v>21</v>
      </c>
      <c r="C14" s="14" t="s">
        <v>15</v>
      </c>
      <c r="D14" s="15">
        <v>3</v>
      </c>
      <c r="E14" s="16">
        <v>3</v>
      </c>
      <c r="F14" s="16">
        <v>0</v>
      </c>
      <c r="G14" s="17" t="str">
        <f>HYPERLINK("#'Skill Gap Analysis'!A1", "Go to Skill Gap Analysis →")</f>
        <v>Go to Skill Gap Analysis →</v>
      </c>
    </row>
    <row r="15" spans="1:7" ht="20.100000000000001" customHeight="1" x14ac:dyDescent="0.25">
      <c r="B15" s="8" t="s">
        <v>22</v>
      </c>
      <c r="C15" s="9" t="s">
        <v>15</v>
      </c>
      <c r="D15" s="10">
        <v>2</v>
      </c>
      <c r="E15" s="11">
        <v>2</v>
      </c>
      <c r="F15" s="11">
        <v>0</v>
      </c>
      <c r="G15" s="12" t="str">
        <f>HYPERLINK("#'My Applications'!A1", "Go to My Applications →")</f>
        <v>Go to My Applications →</v>
      </c>
    </row>
    <row r="16" spans="1:7" ht="20.100000000000001" customHeight="1" x14ac:dyDescent="0.25">
      <c r="B16" s="13" t="s">
        <v>23</v>
      </c>
      <c r="C16" s="14" t="s">
        <v>17</v>
      </c>
      <c r="D16" s="15">
        <v>2</v>
      </c>
      <c r="E16" s="16">
        <v>2</v>
      </c>
      <c r="F16" s="16">
        <v>0</v>
      </c>
      <c r="G16" s="17" t="str">
        <f>HYPERLINK("#'Admin Dashboard'!A1", "Go to Admin Dashboard →")</f>
        <v>Go to Admin Dashboard →</v>
      </c>
    </row>
    <row r="17" spans="2:7" ht="20.100000000000001" customHeight="1" x14ac:dyDescent="0.25">
      <c r="B17" s="8" t="s">
        <v>24</v>
      </c>
      <c r="C17" s="9" t="s">
        <v>17</v>
      </c>
      <c r="D17" s="10">
        <v>4</v>
      </c>
      <c r="E17" s="11">
        <v>3</v>
      </c>
      <c r="F17" s="11">
        <v>1</v>
      </c>
      <c r="G17" s="12" t="str">
        <f>HYPERLINK("#'Manage Jobs'!A1", "Go to Manage Jobs →")</f>
        <v>Go to Manage Jobs →</v>
      </c>
    </row>
    <row r="18" spans="2:7" ht="20.100000000000001" customHeight="1" x14ac:dyDescent="0.25">
      <c r="B18" s="13" t="s">
        <v>25</v>
      </c>
      <c r="C18" s="14" t="s">
        <v>17</v>
      </c>
      <c r="D18" s="15">
        <v>2</v>
      </c>
      <c r="E18" s="16">
        <v>2</v>
      </c>
      <c r="F18" s="16">
        <v>0</v>
      </c>
      <c r="G18" s="17" t="str">
        <f>HYPERLINK("#'Students Directory'!A1", "Go to Students Directory →")</f>
        <v>Go to Students Directory →</v>
      </c>
    </row>
    <row r="19" spans="2:7" ht="20.100000000000001" customHeight="1" x14ac:dyDescent="0.25">
      <c r="B19" s="8" t="s">
        <v>26</v>
      </c>
      <c r="C19" s="9" t="s">
        <v>17</v>
      </c>
      <c r="D19" s="10">
        <v>2</v>
      </c>
      <c r="E19" s="11">
        <v>2</v>
      </c>
      <c r="F19" s="11">
        <v>0</v>
      </c>
      <c r="G19" s="12" t="str">
        <f>HYPERLINK("#'All Applications'!A1", "Go to All Applications →")</f>
        <v>Go to All Applications →</v>
      </c>
    </row>
    <row r="20" spans="2:7" ht="21.95" customHeight="1" x14ac:dyDescent="0.25">
      <c r="B20" s="18" t="s">
        <v>27</v>
      </c>
      <c r="C20" s="18" t="s">
        <v>28</v>
      </c>
      <c r="D20" s="19">
        <f>SUM(D9:D19)</f>
        <v>36</v>
      </c>
      <c r="E20" s="19">
        <f>SUM(E9:E19)</f>
        <v>28</v>
      </c>
      <c r="F20" s="19">
        <f>SUM(F9:F19)</f>
        <v>8</v>
      </c>
      <c r="G20" s="20"/>
    </row>
  </sheetData>
  <mergeCells count="1">
    <mergeCell ref="A1:G1"/>
  </mergeCells>
  <pageMargins left="0.75" right="0.75" top="1" bottom="1" header="0.5" footer="0.5"/>
  <ignoredErrors>
    <ignoredError sqref="B5:C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pane ySplit="4" topLeftCell="A5" activePane="bottomLeft" state="frozen"/>
      <selection pane="bottomLeft" sqref="A1:H1"/>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9" t="s">
        <v>29</v>
      </c>
      <c r="B1" s="38"/>
      <c r="C1" s="38"/>
      <c r="D1" s="38"/>
      <c r="E1" s="38"/>
      <c r="F1" s="38"/>
      <c r="G1" s="38"/>
      <c r="H1" s="38"/>
    </row>
    <row r="2" spans="1:8" ht="20.100000000000001" customHeight="1" x14ac:dyDescent="0.25">
      <c r="A2" s="37" t="str">
        <f>HYPERLINK("#'Execution Summary'!A1", "← Back to Execution Summary")</f>
        <v>← Back to Execution Summary</v>
      </c>
      <c r="B2" s="38"/>
      <c r="C2" s="38"/>
      <c r="D2" s="38"/>
      <c r="E2" s="38"/>
      <c r="F2" s="38"/>
      <c r="G2" s="38"/>
      <c r="H2" s="38"/>
    </row>
    <row r="4" spans="1:8" ht="27.95" customHeight="1" x14ac:dyDescent="0.25">
      <c r="A4" s="21" t="s">
        <v>30</v>
      </c>
      <c r="B4" s="22" t="s">
        <v>31</v>
      </c>
      <c r="C4" s="21" t="s">
        <v>32</v>
      </c>
      <c r="D4" s="22" t="s">
        <v>33</v>
      </c>
      <c r="E4" s="22" t="s">
        <v>34</v>
      </c>
      <c r="F4" s="22" t="s">
        <v>35</v>
      </c>
      <c r="G4" s="22" t="s">
        <v>36</v>
      </c>
      <c r="H4" s="21" t="s">
        <v>37</v>
      </c>
    </row>
    <row r="5" spans="1:8" ht="69.95" customHeight="1" x14ac:dyDescent="0.25">
      <c r="A5" s="23" t="s">
        <v>38</v>
      </c>
      <c r="B5" s="24" t="s">
        <v>39</v>
      </c>
      <c r="C5" s="25" t="s">
        <v>11</v>
      </c>
      <c r="D5" s="26" t="s">
        <v>40</v>
      </c>
      <c r="E5" s="26" t="s">
        <v>41</v>
      </c>
      <c r="F5" s="27" t="s">
        <v>42</v>
      </c>
      <c r="G5" s="27" t="s">
        <v>43</v>
      </c>
      <c r="H5" s="28" t="s">
        <v>44</v>
      </c>
    </row>
    <row r="6" spans="1:8" ht="69.95" customHeight="1" x14ac:dyDescent="0.25">
      <c r="A6" s="29" t="s">
        <v>45</v>
      </c>
      <c r="B6" s="30" t="s">
        <v>46</v>
      </c>
      <c r="C6" s="31" t="s">
        <v>12</v>
      </c>
      <c r="D6" s="32" t="s">
        <v>47</v>
      </c>
      <c r="E6" s="32" t="s">
        <v>48</v>
      </c>
      <c r="F6" s="33" t="s">
        <v>49</v>
      </c>
      <c r="G6" s="33" t="s">
        <v>50</v>
      </c>
      <c r="H6" s="28" t="s">
        <v>44</v>
      </c>
    </row>
    <row r="7" spans="1:8" ht="69.95" customHeight="1" x14ac:dyDescent="0.25">
      <c r="A7" s="23" t="s">
        <v>51</v>
      </c>
      <c r="B7" s="24" t="s">
        <v>52</v>
      </c>
      <c r="C7" s="34" t="s">
        <v>12</v>
      </c>
      <c r="D7" s="26" t="s">
        <v>53</v>
      </c>
      <c r="E7" s="26" t="s">
        <v>54</v>
      </c>
      <c r="F7" s="27" t="s">
        <v>55</v>
      </c>
      <c r="G7" s="27" t="s">
        <v>56</v>
      </c>
      <c r="H7" s="28" t="s">
        <v>44</v>
      </c>
    </row>
    <row r="8" spans="1:8" ht="69.95" customHeight="1" x14ac:dyDescent="0.25">
      <c r="A8" s="29" t="s">
        <v>57</v>
      </c>
      <c r="B8" s="30" t="s">
        <v>58</v>
      </c>
      <c r="C8" s="31" t="s">
        <v>12</v>
      </c>
      <c r="D8" s="32" t="s">
        <v>59</v>
      </c>
      <c r="E8" s="32" t="s">
        <v>60</v>
      </c>
      <c r="F8" s="33" t="s">
        <v>61</v>
      </c>
      <c r="G8" s="33" t="s">
        <v>62</v>
      </c>
      <c r="H8" s="28" t="s">
        <v>44</v>
      </c>
    </row>
    <row r="9" spans="1:8" ht="69.95" customHeight="1" x14ac:dyDescent="0.25">
      <c r="A9" s="23" t="s">
        <v>63</v>
      </c>
      <c r="B9" s="24" t="s">
        <v>64</v>
      </c>
      <c r="C9" s="25" t="s">
        <v>11</v>
      </c>
      <c r="D9" s="26" t="s">
        <v>65</v>
      </c>
      <c r="E9" s="26" t="s">
        <v>66</v>
      </c>
      <c r="F9" s="27" t="s">
        <v>67</v>
      </c>
      <c r="G9" s="27" t="s">
        <v>68</v>
      </c>
      <c r="H9" s="28" t="s">
        <v>44</v>
      </c>
    </row>
    <row r="10" spans="1:8" ht="69.95" customHeight="1" x14ac:dyDescent="0.25">
      <c r="A10" s="29" t="s">
        <v>69</v>
      </c>
      <c r="B10" s="30" t="s">
        <v>70</v>
      </c>
      <c r="C10" s="31" t="s">
        <v>12</v>
      </c>
      <c r="D10" s="32" t="s">
        <v>71</v>
      </c>
      <c r="E10" s="32" t="s">
        <v>72</v>
      </c>
      <c r="F10" s="33" t="s">
        <v>73</v>
      </c>
      <c r="G10" s="33" t="s">
        <v>74</v>
      </c>
      <c r="H10" s="28" t="s">
        <v>44</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zoomScaleNormal="100" workbookViewId="0">
      <pane ySplit="4" topLeftCell="A5" activePane="bottomLeft" state="frozen"/>
      <selection pane="bottomLeft" sqref="A1:H1"/>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9" t="s">
        <v>75</v>
      </c>
      <c r="B1" s="38"/>
      <c r="C1" s="38"/>
      <c r="D1" s="38"/>
      <c r="E1" s="38"/>
      <c r="F1" s="38"/>
      <c r="G1" s="38"/>
      <c r="H1" s="38"/>
    </row>
    <row r="2" spans="1:8" ht="20.100000000000001" customHeight="1" x14ac:dyDescent="0.25">
      <c r="A2" s="37" t="str">
        <f>HYPERLINK("#'Execution Summary'!A1", "← Back to Execution Summary")</f>
        <v>← Back to Execution Summary</v>
      </c>
      <c r="B2" s="38"/>
      <c r="C2" s="38"/>
      <c r="D2" s="38"/>
      <c r="E2" s="38"/>
      <c r="F2" s="38"/>
      <c r="G2" s="38"/>
      <c r="H2" s="38"/>
    </row>
    <row r="4" spans="1:8" ht="27.95" customHeight="1" x14ac:dyDescent="0.25">
      <c r="A4" s="21" t="s">
        <v>30</v>
      </c>
      <c r="B4" s="22" t="s">
        <v>31</v>
      </c>
      <c r="C4" s="21" t="s">
        <v>32</v>
      </c>
      <c r="D4" s="22" t="s">
        <v>33</v>
      </c>
      <c r="E4" s="22" t="s">
        <v>34</v>
      </c>
      <c r="F4" s="22" t="s">
        <v>35</v>
      </c>
      <c r="G4" s="22" t="s">
        <v>36</v>
      </c>
      <c r="H4" s="21" t="s">
        <v>37</v>
      </c>
    </row>
    <row r="5" spans="1:8" ht="69.95" customHeight="1" x14ac:dyDescent="0.25">
      <c r="A5" s="23" t="s">
        <v>76</v>
      </c>
      <c r="B5" s="24" t="s">
        <v>77</v>
      </c>
      <c r="C5" s="25" t="s">
        <v>11</v>
      </c>
      <c r="D5" s="26" t="s">
        <v>78</v>
      </c>
      <c r="E5" s="26" t="s">
        <v>79</v>
      </c>
      <c r="F5" s="27" t="s">
        <v>80</v>
      </c>
      <c r="G5" s="27" t="s">
        <v>81</v>
      </c>
      <c r="H5" s="28" t="s">
        <v>44</v>
      </c>
    </row>
    <row r="6" spans="1:8" ht="69.95" customHeight="1" x14ac:dyDescent="0.25">
      <c r="A6" s="29" t="s">
        <v>82</v>
      </c>
      <c r="B6" s="30" t="s">
        <v>83</v>
      </c>
      <c r="C6" s="31" t="s">
        <v>12</v>
      </c>
      <c r="D6" s="32" t="s">
        <v>84</v>
      </c>
      <c r="E6" s="32" t="s">
        <v>85</v>
      </c>
      <c r="F6" s="33" t="s">
        <v>86</v>
      </c>
      <c r="G6" s="33" t="s">
        <v>87</v>
      </c>
      <c r="H6" s="28" t="s">
        <v>44</v>
      </c>
    </row>
    <row r="7" spans="1:8" ht="69.95" customHeight="1" x14ac:dyDescent="0.25">
      <c r="A7" s="23" t="s">
        <v>88</v>
      </c>
      <c r="B7" s="24" t="s">
        <v>89</v>
      </c>
      <c r="C7" s="25" t="s">
        <v>11</v>
      </c>
      <c r="D7" s="26" t="s">
        <v>90</v>
      </c>
      <c r="E7" s="26" t="s">
        <v>91</v>
      </c>
      <c r="F7" s="27" t="s">
        <v>92</v>
      </c>
      <c r="G7" s="27" t="s">
        <v>93</v>
      </c>
      <c r="H7" s="28" t="s">
        <v>44</v>
      </c>
    </row>
  </sheetData>
  <mergeCells count="2">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
  <sheetViews>
    <sheetView topLeftCell="B1" workbookViewId="0">
      <pane ySplit="4" topLeftCell="A8" activePane="bottomLeft" state="frozen"/>
      <selection pane="bottomLeft" sqref="A1:H1"/>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9" t="s">
        <v>94</v>
      </c>
      <c r="B1" s="38"/>
      <c r="C1" s="38"/>
      <c r="D1" s="38"/>
      <c r="E1" s="38"/>
      <c r="F1" s="38"/>
      <c r="G1" s="38"/>
      <c r="H1" s="38"/>
    </row>
    <row r="2" spans="1:8" ht="20.100000000000001" customHeight="1" x14ac:dyDescent="0.25">
      <c r="A2" s="37" t="str">
        <f>HYPERLINK("#'Execution Summary'!A1", "← Back to Execution Summary")</f>
        <v>← Back to Execution Summary</v>
      </c>
      <c r="B2" s="38"/>
      <c r="C2" s="38"/>
      <c r="D2" s="38"/>
      <c r="E2" s="38"/>
      <c r="F2" s="38"/>
      <c r="G2" s="38"/>
      <c r="H2" s="38"/>
    </row>
    <row r="4" spans="1:8" ht="27.95" customHeight="1" x14ac:dyDescent="0.25">
      <c r="A4" s="21" t="s">
        <v>30</v>
      </c>
      <c r="B4" s="22" t="s">
        <v>31</v>
      </c>
      <c r="C4" s="21" t="s">
        <v>32</v>
      </c>
      <c r="D4" s="22" t="s">
        <v>33</v>
      </c>
      <c r="E4" s="22" t="s">
        <v>34</v>
      </c>
      <c r="F4" s="22" t="s">
        <v>35</v>
      </c>
      <c r="G4" s="22" t="s">
        <v>36</v>
      </c>
      <c r="H4" s="21" t="s">
        <v>37</v>
      </c>
    </row>
    <row r="5" spans="1:8" ht="69.95" customHeight="1" x14ac:dyDescent="0.25">
      <c r="A5" s="23" t="s">
        <v>95</v>
      </c>
      <c r="B5" s="24" t="s">
        <v>96</v>
      </c>
      <c r="C5" s="25" t="s">
        <v>11</v>
      </c>
      <c r="D5" s="26" t="s">
        <v>97</v>
      </c>
      <c r="E5" s="26" t="s">
        <v>98</v>
      </c>
      <c r="F5" s="27" t="s">
        <v>99</v>
      </c>
      <c r="G5" s="27" t="s">
        <v>100</v>
      </c>
      <c r="H5" s="28" t="s">
        <v>44</v>
      </c>
    </row>
    <row r="6" spans="1:8" ht="69.95" customHeight="1" x14ac:dyDescent="0.25">
      <c r="A6" s="29" t="s">
        <v>101</v>
      </c>
      <c r="B6" s="30" t="s">
        <v>102</v>
      </c>
      <c r="C6" s="35" t="s">
        <v>11</v>
      </c>
      <c r="D6" s="32" t="s">
        <v>103</v>
      </c>
      <c r="E6" s="32" t="s">
        <v>104</v>
      </c>
      <c r="F6" s="33" t="s">
        <v>105</v>
      </c>
      <c r="G6" s="33" t="s">
        <v>106</v>
      </c>
      <c r="H6" s="28" t="s">
        <v>44</v>
      </c>
    </row>
    <row r="7" spans="1:8" ht="69.95" customHeight="1" x14ac:dyDescent="0.25">
      <c r="A7" s="23" t="s">
        <v>107</v>
      </c>
      <c r="B7" s="24" t="s">
        <v>108</v>
      </c>
      <c r="C7" s="25" t="s">
        <v>11</v>
      </c>
      <c r="D7" s="26" t="s">
        <v>109</v>
      </c>
      <c r="E7" s="26" t="s">
        <v>110</v>
      </c>
      <c r="F7" s="27" t="s">
        <v>111</v>
      </c>
      <c r="G7" s="27" t="s">
        <v>112</v>
      </c>
      <c r="H7" s="28" t="s">
        <v>44</v>
      </c>
    </row>
    <row r="8" spans="1:8" ht="69.95" customHeight="1" x14ac:dyDescent="0.25">
      <c r="A8" s="29" t="s">
        <v>113</v>
      </c>
      <c r="B8" s="30" t="s">
        <v>114</v>
      </c>
      <c r="C8" s="35" t="s">
        <v>11</v>
      </c>
      <c r="D8" s="32" t="s">
        <v>115</v>
      </c>
      <c r="E8" s="32" t="s">
        <v>116</v>
      </c>
      <c r="F8" s="33" t="s">
        <v>117</v>
      </c>
      <c r="G8" s="33" t="s">
        <v>118</v>
      </c>
      <c r="H8" s="28" t="s">
        <v>44</v>
      </c>
    </row>
  </sheetData>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
  <sheetViews>
    <sheetView zoomScaleNormal="100" workbookViewId="0">
      <pane ySplit="4" topLeftCell="A6" activePane="bottomLeft" state="frozen"/>
      <selection pane="bottomLeft" sqref="A1:H1"/>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9" t="s">
        <v>255</v>
      </c>
      <c r="B1" s="38"/>
      <c r="C1" s="38"/>
      <c r="D1" s="38"/>
      <c r="E1" s="38"/>
      <c r="F1" s="38"/>
      <c r="G1" s="38"/>
      <c r="H1" s="38"/>
    </row>
    <row r="2" spans="1:8" ht="20.100000000000001" customHeight="1" x14ac:dyDescent="0.25">
      <c r="A2" s="37" t="str">
        <f>HYPERLINK("#'Execution Summary'!A1", "← Back to Execution Summary")</f>
        <v>← Back to Execution Summary</v>
      </c>
      <c r="B2" s="38"/>
      <c r="C2" s="38"/>
      <c r="D2" s="38"/>
      <c r="E2" s="38"/>
      <c r="F2" s="38"/>
      <c r="G2" s="38"/>
      <c r="H2" s="38"/>
    </row>
    <row r="4" spans="1:8" ht="27.95" customHeight="1" x14ac:dyDescent="0.25">
      <c r="A4" s="21" t="s">
        <v>30</v>
      </c>
      <c r="B4" s="22" t="s">
        <v>31</v>
      </c>
      <c r="C4" s="21" t="s">
        <v>32</v>
      </c>
      <c r="D4" s="22" t="s">
        <v>33</v>
      </c>
      <c r="E4" s="22" t="s">
        <v>34</v>
      </c>
      <c r="F4" s="22" t="s">
        <v>35</v>
      </c>
      <c r="G4" s="22" t="s">
        <v>36</v>
      </c>
      <c r="H4" s="21" t="s">
        <v>37</v>
      </c>
    </row>
    <row r="5" spans="1:8" ht="69.95" customHeight="1" x14ac:dyDescent="0.25">
      <c r="A5" s="23" t="s">
        <v>119</v>
      </c>
      <c r="B5" s="24" t="s">
        <v>120</v>
      </c>
      <c r="C5" s="25" t="s">
        <v>11</v>
      </c>
      <c r="D5" s="26" t="s">
        <v>121</v>
      </c>
      <c r="E5" s="26" t="s">
        <v>122</v>
      </c>
      <c r="F5" s="27" t="s">
        <v>123</v>
      </c>
      <c r="G5" s="27" t="s">
        <v>124</v>
      </c>
      <c r="H5" s="28" t="s">
        <v>44</v>
      </c>
    </row>
    <row r="6" spans="1:8" ht="69.95" customHeight="1" x14ac:dyDescent="0.25">
      <c r="A6" s="29" t="s">
        <v>125</v>
      </c>
      <c r="B6" s="30" t="s">
        <v>126</v>
      </c>
      <c r="C6" s="35" t="s">
        <v>11</v>
      </c>
      <c r="D6" s="32" t="s">
        <v>127</v>
      </c>
      <c r="E6" s="32" t="s">
        <v>128</v>
      </c>
      <c r="F6" s="33" t="s">
        <v>129</v>
      </c>
      <c r="G6" s="33" t="s">
        <v>130</v>
      </c>
      <c r="H6" s="28" t="s">
        <v>44</v>
      </c>
    </row>
    <row r="7" spans="1:8" ht="69.95" customHeight="1" x14ac:dyDescent="0.25">
      <c r="A7" s="23" t="s">
        <v>131</v>
      </c>
      <c r="B7" s="24" t="s">
        <v>132</v>
      </c>
      <c r="C7" s="25" t="s">
        <v>11</v>
      </c>
      <c r="D7" s="26" t="s">
        <v>133</v>
      </c>
      <c r="E7" s="26" t="s">
        <v>134</v>
      </c>
      <c r="F7" s="27" t="s">
        <v>135</v>
      </c>
      <c r="G7" s="27" t="s">
        <v>136</v>
      </c>
      <c r="H7" s="28" t="s">
        <v>44</v>
      </c>
    </row>
  </sheetData>
  <mergeCells count="2">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
  <sheetViews>
    <sheetView tabSelected="1" workbookViewId="0">
      <pane ySplit="4" topLeftCell="A5" activePane="bottomLeft" state="frozen"/>
      <selection pane="bottomLeft" sqref="A1:H1"/>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9" t="s">
        <v>256</v>
      </c>
      <c r="B1" s="38"/>
      <c r="C1" s="38"/>
      <c r="D1" s="38"/>
      <c r="E1" s="38"/>
      <c r="F1" s="38"/>
      <c r="G1" s="38"/>
      <c r="H1" s="38"/>
    </row>
    <row r="2" spans="1:8" ht="20.100000000000001" customHeight="1" x14ac:dyDescent="0.25">
      <c r="A2" s="37" t="str">
        <f>HYPERLINK("#'Execution Summary'!A1", "← Back to Execution Summary")</f>
        <v>← Back to Execution Summary</v>
      </c>
      <c r="B2" s="38"/>
      <c r="C2" s="38"/>
      <c r="D2" s="38"/>
      <c r="E2" s="38"/>
      <c r="F2" s="38"/>
      <c r="G2" s="38"/>
      <c r="H2" s="38"/>
    </row>
    <row r="4" spans="1:8" ht="27.95" customHeight="1" x14ac:dyDescent="0.25">
      <c r="A4" s="21" t="s">
        <v>30</v>
      </c>
      <c r="B4" s="22" t="s">
        <v>31</v>
      </c>
      <c r="C4" s="21" t="s">
        <v>32</v>
      </c>
      <c r="D4" s="22" t="s">
        <v>33</v>
      </c>
      <c r="E4" s="22" t="s">
        <v>34</v>
      </c>
      <c r="F4" s="22" t="s">
        <v>35</v>
      </c>
      <c r="G4" s="22" t="s">
        <v>36</v>
      </c>
      <c r="H4" s="21" t="s">
        <v>37</v>
      </c>
    </row>
    <row r="5" spans="1:8" ht="69.95" customHeight="1" x14ac:dyDescent="0.25">
      <c r="A5" s="23" t="s">
        <v>137</v>
      </c>
      <c r="B5" s="24" t="s">
        <v>138</v>
      </c>
      <c r="C5" s="25" t="s">
        <v>11</v>
      </c>
      <c r="D5" s="26" t="s">
        <v>139</v>
      </c>
      <c r="E5" s="26" t="s">
        <v>140</v>
      </c>
      <c r="F5" s="27" t="s">
        <v>141</v>
      </c>
      <c r="G5" s="27" t="s">
        <v>142</v>
      </c>
      <c r="H5" s="28" t="s">
        <v>44</v>
      </c>
    </row>
    <row r="6" spans="1:8" ht="69.95" customHeight="1" x14ac:dyDescent="0.25">
      <c r="A6" s="29" t="s">
        <v>143</v>
      </c>
      <c r="B6" s="30" t="s">
        <v>144</v>
      </c>
      <c r="C6" s="35" t="s">
        <v>11</v>
      </c>
      <c r="D6" s="32" t="s">
        <v>145</v>
      </c>
      <c r="E6" s="32" t="s">
        <v>146</v>
      </c>
      <c r="F6" s="33" t="s">
        <v>147</v>
      </c>
      <c r="G6" s="33" t="s">
        <v>148</v>
      </c>
      <c r="H6" s="28" t="s">
        <v>44</v>
      </c>
    </row>
    <row r="7" spans="1:8" ht="69.95" customHeight="1" x14ac:dyDescent="0.25">
      <c r="A7" s="23" t="s">
        <v>149</v>
      </c>
      <c r="B7" s="24" t="s">
        <v>150</v>
      </c>
      <c r="C7" s="25" t="s">
        <v>11</v>
      </c>
      <c r="D7" s="26" t="s">
        <v>151</v>
      </c>
      <c r="E7" s="26" t="s">
        <v>152</v>
      </c>
      <c r="F7" s="27" t="s">
        <v>153</v>
      </c>
      <c r="G7" s="27" t="s">
        <v>154</v>
      </c>
      <c r="H7" s="28" t="s">
        <v>44</v>
      </c>
    </row>
    <row r="8" spans="1:8" ht="69.95" customHeight="1" x14ac:dyDescent="0.25">
      <c r="A8" s="29" t="s">
        <v>155</v>
      </c>
      <c r="B8" s="30" t="s">
        <v>156</v>
      </c>
      <c r="C8" s="31" t="s">
        <v>12</v>
      </c>
      <c r="D8" s="32" t="s">
        <v>157</v>
      </c>
      <c r="E8" s="32" t="s">
        <v>158</v>
      </c>
      <c r="F8" s="33" t="s">
        <v>159</v>
      </c>
      <c r="G8" s="33" t="s">
        <v>160</v>
      </c>
      <c r="H8" s="28" t="s">
        <v>44</v>
      </c>
    </row>
    <row r="9" spans="1:8" ht="69.95" customHeight="1" x14ac:dyDescent="0.25">
      <c r="A9" s="23" t="s">
        <v>161</v>
      </c>
      <c r="B9" s="24" t="s">
        <v>162</v>
      </c>
      <c r="C9" s="34" t="s">
        <v>12</v>
      </c>
      <c r="D9" s="26" t="s">
        <v>163</v>
      </c>
      <c r="E9" s="26" t="s">
        <v>164</v>
      </c>
      <c r="F9" s="27" t="s">
        <v>165</v>
      </c>
      <c r="G9" s="27" t="s">
        <v>166</v>
      </c>
      <c r="H9" s="28" t="s">
        <v>44</v>
      </c>
    </row>
  </sheetData>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
  <sheetViews>
    <sheetView workbookViewId="0">
      <pane ySplit="4" topLeftCell="A5" activePane="bottomLeft" state="frozen"/>
      <selection pane="bottomLeft" sqref="A1:H1"/>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9" t="s">
        <v>257</v>
      </c>
      <c r="B1" s="38"/>
      <c r="C1" s="38"/>
      <c r="D1" s="38"/>
      <c r="E1" s="38"/>
      <c r="F1" s="38"/>
      <c r="G1" s="38"/>
      <c r="H1" s="38"/>
    </row>
    <row r="2" spans="1:8" ht="20.100000000000001" customHeight="1" x14ac:dyDescent="0.25">
      <c r="A2" s="37" t="str">
        <f>HYPERLINK("#'Execution Summary'!A1", "← Back to Execution Summary")</f>
        <v>← Back to Execution Summary</v>
      </c>
      <c r="B2" s="38"/>
      <c r="C2" s="38"/>
      <c r="D2" s="38"/>
      <c r="E2" s="38"/>
      <c r="F2" s="38"/>
      <c r="G2" s="38"/>
      <c r="H2" s="38"/>
    </row>
    <row r="4" spans="1:8" ht="27.95" customHeight="1" x14ac:dyDescent="0.25">
      <c r="A4" s="21" t="s">
        <v>30</v>
      </c>
      <c r="B4" s="22" t="s">
        <v>31</v>
      </c>
      <c r="C4" s="21" t="s">
        <v>32</v>
      </c>
      <c r="D4" s="22" t="s">
        <v>33</v>
      </c>
      <c r="E4" s="22" t="s">
        <v>34</v>
      </c>
      <c r="F4" s="22" t="s">
        <v>35</v>
      </c>
      <c r="G4" s="22" t="s">
        <v>36</v>
      </c>
      <c r="H4" s="21" t="s">
        <v>37</v>
      </c>
    </row>
    <row r="5" spans="1:8" ht="69.95" customHeight="1" x14ac:dyDescent="0.25">
      <c r="A5" s="23" t="s">
        <v>167</v>
      </c>
      <c r="B5" s="24" t="s">
        <v>168</v>
      </c>
      <c r="C5" s="25" t="s">
        <v>11</v>
      </c>
      <c r="D5" s="26" t="s">
        <v>169</v>
      </c>
      <c r="E5" s="26" t="s">
        <v>170</v>
      </c>
      <c r="F5" s="27" t="s">
        <v>171</v>
      </c>
      <c r="G5" s="27" t="s">
        <v>172</v>
      </c>
      <c r="H5" s="28" t="s">
        <v>44</v>
      </c>
    </row>
    <row r="6" spans="1:8" ht="69.95" customHeight="1" x14ac:dyDescent="0.25">
      <c r="A6" s="29" t="s">
        <v>173</v>
      </c>
      <c r="B6" s="30" t="s">
        <v>174</v>
      </c>
      <c r="C6" s="35" t="s">
        <v>11</v>
      </c>
      <c r="D6" s="32" t="s">
        <v>175</v>
      </c>
      <c r="E6" s="32" t="s">
        <v>116</v>
      </c>
      <c r="F6" s="33" t="s">
        <v>176</v>
      </c>
      <c r="G6" s="33" t="s">
        <v>177</v>
      </c>
      <c r="H6" s="28" t="s">
        <v>44</v>
      </c>
    </row>
    <row r="7" spans="1:8" ht="69.95" customHeight="1" x14ac:dyDescent="0.25">
      <c r="A7" s="23" t="s">
        <v>178</v>
      </c>
      <c r="B7" s="24" t="s">
        <v>179</v>
      </c>
      <c r="C7" s="25" t="s">
        <v>11</v>
      </c>
      <c r="D7" s="26" t="s">
        <v>180</v>
      </c>
      <c r="E7" s="26" t="s">
        <v>181</v>
      </c>
      <c r="F7" s="27" t="s">
        <v>182</v>
      </c>
      <c r="G7" s="27" t="s">
        <v>183</v>
      </c>
      <c r="H7" s="28" t="s">
        <v>44</v>
      </c>
    </row>
  </sheetData>
  <mergeCells count="2">
    <mergeCell ref="A2:H2"/>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
  <sheetViews>
    <sheetView workbookViewId="0">
      <pane ySplit="4" topLeftCell="A5" activePane="bottomLeft" state="frozen"/>
      <selection pane="bottomLeft" sqref="A1:H1"/>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9" t="s">
        <v>258</v>
      </c>
      <c r="B1" s="38"/>
      <c r="C1" s="38"/>
      <c r="D1" s="38"/>
      <c r="E1" s="38"/>
      <c r="F1" s="38"/>
      <c r="G1" s="38"/>
      <c r="H1" s="38"/>
    </row>
    <row r="2" spans="1:8" ht="20.100000000000001" customHeight="1" x14ac:dyDescent="0.25">
      <c r="A2" s="37" t="str">
        <f>HYPERLINK("#'Execution Summary'!A1", "← Back to Execution Summary")</f>
        <v>← Back to Execution Summary</v>
      </c>
      <c r="B2" s="38"/>
      <c r="C2" s="38"/>
      <c r="D2" s="38"/>
      <c r="E2" s="38"/>
      <c r="F2" s="38"/>
      <c r="G2" s="38"/>
      <c r="H2" s="38"/>
    </row>
    <row r="4" spans="1:8" ht="27.95" customHeight="1" x14ac:dyDescent="0.25">
      <c r="A4" s="21" t="s">
        <v>30</v>
      </c>
      <c r="B4" s="22" t="s">
        <v>31</v>
      </c>
      <c r="C4" s="21" t="s">
        <v>32</v>
      </c>
      <c r="D4" s="22" t="s">
        <v>33</v>
      </c>
      <c r="E4" s="22" t="s">
        <v>34</v>
      </c>
      <c r="F4" s="22" t="s">
        <v>35</v>
      </c>
      <c r="G4" s="22" t="s">
        <v>36</v>
      </c>
      <c r="H4" s="21" t="s">
        <v>37</v>
      </c>
    </row>
    <row r="5" spans="1:8" ht="69.95" customHeight="1" x14ac:dyDescent="0.25">
      <c r="A5" s="23" t="s">
        <v>184</v>
      </c>
      <c r="B5" s="24" t="s">
        <v>185</v>
      </c>
      <c r="C5" s="25" t="s">
        <v>11</v>
      </c>
      <c r="D5" s="26" t="s">
        <v>186</v>
      </c>
      <c r="E5" s="26" t="s">
        <v>187</v>
      </c>
      <c r="F5" s="27" t="s">
        <v>188</v>
      </c>
      <c r="G5" s="27" t="s">
        <v>189</v>
      </c>
      <c r="H5" s="28" t="s">
        <v>44</v>
      </c>
    </row>
    <row r="6" spans="1:8" ht="69.95" customHeight="1" x14ac:dyDescent="0.25">
      <c r="A6" s="29" t="s">
        <v>190</v>
      </c>
      <c r="B6" s="30" t="s">
        <v>191</v>
      </c>
      <c r="C6" s="35" t="s">
        <v>11</v>
      </c>
      <c r="D6" s="32" t="s">
        <v>192</v>
      </c>
      <c r="E6" s="32" t="s">
        <v>193</v>
      </c>
      <c r="F6" s="33" t="s">
        <v>194</v>
      </c>
      <c r="G6" s="33" t="s">
        <v>195</v>
      </c>
      <c r="H6" s="28" t="s">
        <v>44</v>
      </c>
    </row>
  </sheetData>
  <mergeCells count="2">
    <mergeCell ref="A2:H2"/>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
  <sheetViews>
    <sheetView workbookViewId="0">
      <pane ySplit="4" topLeftCell="A5" activePane="bottomLeft" state="frozen"/>
      <selection pane="bottomLeft" sqref="A1:H1"/>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9" t="s">
        <v>259</v>
      </c>
      <c r="B1" s="38"/>
      <c r="C1" s="38"/>
      <c r="D1" s="38"/>
      <c r="E1" s="38"/>
      <c r="F1" s="38"/>
      <c r="G1" s="38"/>
      <c r="H1" s="38"/>
    </row>
    <row r="2" spans="1:8" ht="20.100000000000001" customHeight="1" x14ac:dyDescent="0.25">
      <c r="A2" s="37" t="str">
        <f>HYPERLINK("#'Execution Summary'!A1", "← Back to Execution Summary")</f>
        <v>← Back to Execution Summary</v>
      </c>
      <c r="B2" s="38"/>
      <c r="C2" s="38"/>
      <c r="D2" s="38"/>
      <c r="E2" s="38"/>
      <c r="F2" s="38"/>
      <c r="G2" s="38"/>
      <c r="H2" s="38"/>
    </row>
    <row r="4" spans="1:8" ht="27.95" customHeight="1" x14ac:dyDescent="0.25">
      <c r="A4" s="21" t="s">
        <v>30</v>
      </c>
      <c r="B4" s="22" t="s">
        <v>31</v>
      </c>
      <c r="C4" s="21" t="s">
        <v>32</v>
      </c>
      <c r="D4" s="22" t="s">
        <v>33</v>
      </c>
      <c r="E4" s="22" t="s">
        <v>34</v>
      </c>
      <c r="F4" s="22" t="s">
        <v>35</v>
      </c>
      <c r="G4" s="22" t="s">
        <v>36</v>
      </c>
      <c r="H4" s="21" t="s">
        <v>37</v>
      </c>
    </row>
    <row r="5" spans="1:8" ht="69.95" customHeight="1" x14ac:dyDescent="0.25">
      <c r="A5" s="23" t="s">
        <v>196</v>
      </c>
      <c r="B5" s="24" t="s">
        <v>197</v>
      </c>
      <c r="C5" s="25" t="s">
        <v>11</v>
      </c>
      <c r="D5" s="26" t="s">
        <v>198</v>
      </c>
      <c r="E5" s="26" t="s">
        <v>199</v>
      </c>
      <c r="F5" s="27" t="s">
        <v>200</v>
      </c>
      <c r="G5" s="27" t="s">
        <v>201</v>
      </c>
      <c r="H5" s="28" t="s">
        <v>44</v>
      </c>
    </row>
    <row r="6" spans="1:8" ht="69.95" customHeight="1" x14ac:dyDescent="0.25">
      <c r="A6" s="29" t="s">
        <v>202</v>
      </c>
      <c r="B6" s="30" t="s">
        <v>203</v>
      </c>
      <c r="C6" s="35" t="s">
        <v>11</v>
      </c>
      <c r="D6" s="32" t="s">
        <v>204</v>
      </c>
      <c r="E6" s="32" t="s">
        <v>205</v>
      </c>
      <c r="F6" s="33" t="s">
        <v>206</v>
      </c>
      <c r="G6" s="33" t="s">
        <v>207</v>
      </c>
      <c r="H6" s="28" t="s">
        <v>44</v>
      </c>
    </row>
  </sheetData>
  <mergeCells count="2">
    <mergeCell ref="A2:H2"/>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
  <sheetViews>
    <sheetView workbookViewId="0">
      <pane ySplit="4" topLeftCell="A5" activePane="bottomLeft" state="frozen"/>
      <selection pane="bottomLeft" sqref="A1:H1"/>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9" t="s">
        <v>260</v>
      </c>
      <c r="B1" s="38"/>
      <c r="C1" s="38"/>
      <c r="D1" s="38"/>
      <c r="E1" s="38"/>
      <c r="F1" s="38"/>
      <c r="G1" s="38"/>
      <c r="H1" s="38"/>
    </row>
    <row r="2" spans="1:8" ht="20.100000000000001" customHeight="1" x14ac:dyDescent="0.25">
      <c r="A2" s="37" t="str">
        <f>HYPERLINK("#'Execution Summary'!A1", "← Back to Execution Summary")</f>
        <v>← Back to Execution Summary</v>
      </c>
      <c r="B2" s="38"/>
      <c r="C2" s="38"/>
      <c r="D2" s="38"/>
      <c r="E2" s="38"/>
      <c r="F2" s="38"/>
      <c r="G2" s="38"/>
      <c r="H2" s="38"/>
    </row>
    <row r="4" spans="1:8" ht="27.95" customHeight="1" x14ac:dyDescent="0.25">
      <c r="A4" s="21" t="s">
        <v>30</v>
      </c>
      <c r="B4" s="22" t="s">
        <v>31</v>
      </c>
      <c r="C4" s="21" t="s">
        <v>32</v>
      </c>
      <c r="D4" s="22" t="s">
        <v>33</v>
      </c>
      <c r="E4" s="22" t="s">
        <v>34</v>
      </c>
      <c r="F4" s="22" t="s">
        <v>35</v>
      </c>
      <c r="G4" s="22" t="s">
        <v>36</v>
      </c>
      <c r="H4" s="21" t="s">
        <v>37</v>
      </c>
    </row>
    <row r="5" spans="1:8" ht="69.95" customHeight="1" x14ac:dyDescent="0.25">
      <c r="A5" s="23" t="s">
        <v>208</v>
      </c>
      <c r="B5" s="24" t="s">
        <v>209</v>
      </c>
      <c r="C5" s="25" t="s">
        <v>11</v>
      </c>
      <c r="D5" s="26" t="s">
        <v>210</v>
      </c>
      <c r="E5" s="26" t="s">
        <v>211</v>
      </c>
      <c r="F5" s="27" t="s">
        <v>212</v>
      </c>
      <c r="G5" s="27" t="s">
        <v>213</v>
      </c>
      <c r="H5" s="28" t="s">
        <v>44</v>
      </c>
    </row>
    <row r="6" spans="1:8" ht="69.95" customHeight="1" x14ac:dyDescent="0.25">
      <c r="A6" s="29" t="s">
        <v>214</v>
      </c>
      <c r="B6" s="30" t="s">
        <v>215</v>
      </c>
      <c r="C6" s="31" t="s">
        <v>12</v>
      </c>
      <c r="D6" s="32" t="s">
        <v>216</v>
      </c>
      <c r="E6" s="32" t="s">
        <v>217</v>
      </c>
      <c r="F6" s="33" t="s">
        <v>218</v>
      </c>
      <c r="G6" s="33" t="s">
        <v>219</v>
      </c>
      <c r="H6" s="28" t="s">
        <v>44</v>
      </c>
    </row>
    <row r="7" spans="1:8" ht="69.95" customHeight="1" x14ac:dyDescent="0.25">
      <c r="A7" s="23" t="s">
        <v>220</v>
      </c>
      <c r="B7" s="24" t="s">
        <v>221</v>
      </c>
      <c r="C7" s="25" t="s">
        <v>11</v>
      </c>
      <c r="D7" s="26" t="s">
        <v>222</v>
      </c>
      <c r="E7" s="26" t="s">
        <v>223</v>
      </c>
      <c r="F7" s="27" t="s">
        <v>224</v>
      </c>
      <c r="G7" s="27" t="s">
        <v>225</v>
      </c>
      <c r="H7" s="28" t="s">
        <v>44</v>
      </c>
    </row>
    <row r="8" spans="1:8" ht="69.95" customHeight="1" x14ac:dyDescent="0.25">
      <c r="A8" s="29" t="s">
        <v>226</v>
      </c>
      <c r="B8" s="30" t="s">
        <v>227</v>
      </c>
      <c r="C8" s="35" t="s">
        <v>11</v>
      </c>
      <c r="D8" s="32" t="s">
        <v>228</v>
      </c>
      <c r="E8" s="32" t="s">
        <v>229</v>
      </c>
      <c r="F8" s="33" t="s">
        <v>230</v>
      </c>
      <c r="G8" s="33" t="s">
        <v>231</v>
      </c>
      <c r="H8" s="28" t="s">
        <v>44</v>
      </c>
    </row>
  </sheetData>
  <mergeCells count="2">
    <mergeCell ref="A2:H2"/>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
  <sheetViews>
    <sheetView workbookViewId="0">
      <pane ySplit="4" topLeftCell="A5" activePane="bottomLeft" state="frozen"/>
      <selection pane="bottomLeft" sqref="A1:H1"/>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9" t="s">
        <v>261</v>
      </c>
      <c r="B1" s="38"/>
      <c r="C1" s="38"/>
      <c r="D1" s="38"/>
      <c r="E1" s="38"/>
      <c r="F1" s="38"/>
      <c r="G1" s="38"/>
      <c r="H1" s="38"/>
    </row>
    <row r="2" spans="1:8" ht="20.100000000000001" customHeight="1" x14ac:dyDescent="0.25">
      <c r="A2" s="37" t="str">
        <f>HYPERLINK("#'Execution Summary'!A1", "← Back to Execution Summary")</f>
        <v>← Back to Execution Summary</v>
      </c>
      <c r="B2" s="38"/>
      <c r="C2" s="38"/>
      <c r="D2" s="38"/>
      <c r="E2" s="38"/>
      <c r="F2" s="38"/>
      <c r="G2" s="38"/>
      <c r="H2" s="38"/>
    </row>
    <row r="4" spans="1:8" ht="27.95" customHeight="1" x14ac:dyDescent="0.25">
      <c r="A4" s="21" t="s">
        <v>30</v>
      </c>
      <c r="B4" s="22" t="s">
        <v>31</v>
      </c>
      <c r="C4" s="21" t="s">
        <v>32</v>
      </c>
      <c r="D4" s="22" t="s">
        <v>33</v>
      </c>
      <c r="E4" s="22" t="s">
        <v>34</v>
      </c>
      <c r="F4" s="22" t="s">
        <v>35</v>
      </c>
      <c r="G4" s="22" t="s">
        <v>36</v>
      </c>
      <c r="H4" s="21" t="s">
        <v>37</v>
      </c>
    </row>
    <row r="5" spans="1:8" ht="69.95" customHeight="1" x14ac:dyDescent="0.25">
      <c r="A5" s="23" t="s">
        <v>232</v>
      </c>
      <c r="B5" s="24" t="s">
        <v>233</v>
      </c>
      <c r="C5" s="25" t="s">
        <v>11</v>
      </c>
      <c r="D5" s="26" t="s">
        <v>234</v>
      </c>
      <c r="E5" s="26" t="s">
        <v>235</v>
      </c>
      <c r="F5" s="27" t="s">
        <v>236</v>
      </c>
      <c r="G5" s="27" t="s">
        <v>237</v>
      </c>
      <c r="H5" s="28" t="s">
        <v>44</v>
      </c>
    </row>
    <row r="6" spans="1:8" ht="69.95" customHeight="1" x14ac:dyDescent="0.25">
      <c r="A6" s="29" t="s">
        <v>238</v>
      </c>
      <c r="B6" s="30" t="s">
        <v>239</v>
      </c>
      <c r="C6" s="35" t="s">
        <v>11</v>
      </c>
      <c r="D6" s="32" t="s">
        <v>240</v>
      </c>
      <c r="E6" s="32" t="s">
        <v>241</v>
      </c>
      <c r="F6" s="33" t="s">
        <v>242</v>
      </c>
      <c r="G6" s="33" t="s">
        <v>243</v>
      </c>
      <c r="H6" s="28" t="s">
        <v>44</v>
      </c>
    </row>
  </sheetData>
  <mergeCells count="2">
    <mergeCell ref="A2:H2"/>
    <mergeCell ref="A1:H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
  <sheetViews>
    <sheetView workbookViewId="0">
      <pane ySplit="4" topLeftCell="A5" activePane="bottomLeft" state="frozen"/>
      <selection pane="bottomLeft" sqref="A1:H1"/>
    </sheetView>
  </sheetViews>
  <sheetFormatPr defaultRowHeight="15" x14ac:dyDescent="0.25"/>
  <cols>
    <col min="1" max="1" width="16" customWidth="1"/>
    <col min="2" max="2" width="32" customWidth="1"/>
    <col min="3" max="3" width="13" customWidth="1"/>
    <col min="4" max="4" width="44" customWidth="1"/>
    <col min="5" max="5" width="28" customWidth="1"/>
    <col min="6" max="6" width="40" customWidth="1"/>
    <col min="7" max="7" width="38" customWidth="1"/>
    <col min="8" max="8" width="12" customWidth="1"/>
  </cols>
  <sheetData>
    <row r="1" spans="1:8" ht="36" customHeight="1" x14ac:dyDescent="0.25">
      <c r="A1" s="39" t="s">
        <v>262</v>
      </c>
      <c r="B1" s="38"/>
      <c r="C1" s="38"/>
      <c r="D1" s="38"/>
      <c r="E1" s="38"/>
      <c r="F1" s="38"/>
      <c r="G1" s="38"/>
      <c r="H1" s="38"/>
    </row>
    <row r="2" spans="1:8" ht="20.100000000000001" customHeight="1" x14ac:dyDescent="0.25">
      <c r="A2" s="37" t="str">
        <f>HYPERLINK("#'Execution Summary'!A1", "← Back to Execution Summary")</f>
        <v>← Back to Execution Summary</v>
      </c>
      <c r="B2" s="38"/>
      <c r="C2" s="38"/>
      <c r="D2" s="38"/>
      <c r="E2" s="38"/>
      <c r="F2" s="38"/>
      <c r="G2" s="38"/>
      <c r="H2" s="38"/>
    </row>
    <row r="4" spans="1:8" ht="27.95" customHeight="1" x14ac:dyDescent="0.25">
      <c r="A4" s="21" t="s">
        <v>30</v>
      </c>
      <c r="B4" s="22" t="s">
        <v>31</v>
      </c>
      <c r="C4" s="21" t="s">
        <v>32</v>
      </c>
      <c r="D4" s="22" t="s">
        <v>33</v>
      </c>
      <c r="E4" s="22" t="s">
        <v>34</v>
      </c>
      <c r="F4" s="22" t="s">
        <v>35</v>
      </c>
      <c r="G4" s="22" t="s">
        <v>36</v>
      </c>
      <c r="H4" s="21" t="s">
        <v>37</v>
      </c>
    </row>
    <row r="5" spans="1:8" ht="69.95" customHeight="1" x14ac:dyDescent="0.25">
      <c r="A5" s="23" t="s">
        <v>244</v>
      </c>
      <c r="B5" s="24" t="s">
        <v>245</v>
      </c>
      <c r="C5" s="25" t="s">
        <v>11</v>
      </c>
      <c r="D5" s="26" t="s">
        <v>246</v>
      </c>
      <c r="E5" s="26" t="s">
        <v>247</v>
      </c>
      <c r="F5" s="27" t="s">
        <v>248</v>
      </c>
      <c r="G5" s="27" t="s">
        <v>249</v>
      </c>
      <c r="H5" s="28" t="s">
        <v>44</v>
      </c>
    </row>
    <row r="6" spans="1:8" ht="69.95" customHeight="1" x14ac:dyDescent="0.25">
      <c r="A6" s="29" t="s">
        <v>250</v>
      </c>
      <c r="B6" s="30" t="s">
        <v>251</v>
      </c>
      <c r="C6" s="35" t="s">
        <v>11</v>
      </c>
      <c r="D6" s="32" t="s">
        <v>252</v>
      </c>
      <c r="E6" s="32" t="s">
        <v>253</v>
      </c>
      <c r="F6" s="33" t="s">
        <v>254</v>
      </c>
      <c r="G6" s="33" t="s">
        <v>207</v>
      </c>
      <c r="H6" s="28" t="s">
        <v>44</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Execution Summary</vt:lpstr>
      <vt:lpstr>Student Login</vt:lpstr>
      <vt:lpstr>Admin Login</vt:lpstr>
      <vt:lpstr>Student Dashboard</vt:lpstr>
      <vt:lpstr>Browse Jobs</vt:lpstr>
      <vt:lpstr>My Skills</vt:lpstr>
      <vt:lpstr>Skill Gap Analysis</vt:lpstr>
      <vt:lpstr>My Applications</vt:lpstr>
      <vt:lpstr>Admin Dashboard</vt:lpstr>
      <vt:lpstr>Manage Jobs</vt:lpstr>
      <vt:lpstr>Students Directory</vt:lpstr>
      <vt:lpstr>All Applications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Dhanush 1</cp:lastModifiedBy>
  <dcterms:created xsi:type="dcterms:W3CDTF">2026-09-05T06:39:04Z</dcterms:created>
  <dcterms:modified xsi:type="dcterms:W3CDTF">2026-09-05T07:49:32Z</dcterms:modified>
</cp:coreProperties>
</file>